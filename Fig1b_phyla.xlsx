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ig/KAUST Dropbox/guoxin cui/data/Tissue-specific microbiome/Manuscript/"/>
    </mc:Choice>
  </mc:AlternateContent>
  <xr:revisionPtr revIDLastSave="0" documentId="13_ncr:1_{E614E1ED-B68E-4148-ABFA-F2CB0EBE0158}" xr6:coauthVersionLast="47" xr6:coauthVersionMax="47" xr10:uidLastSave="{00000000-0000-0000-0000-000000000000}"/>
  <bookViews>
    <workbookView xWindow="36000" yWindow="2280" windowWidth="26440" windowHeight="15440" xr2:uid="{B7F4521F-BFCB-194F-904A-40A9FA4349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C20" i="1"/>
  <c r="C21" i="1" s="1"/>
  <c r="D20" i="1"/>
  <c r="D21" i="1" s="1"/>
  <c r="E20" i="1"/>
  <c r="E21" i="1" s="1"/>
  <c r="F20" i="1"/>
  <c r="F21" i="1" s="1"/>
  <c r="G20" i="1"/>
  <c r="G21" i="1" s="1"/>
  <c r="H20" i="1"/>
  <c r="H21" i="1" s="1"/>
  <c r="B21" i="1"/>
  <c r="B20" i="1"/>
  <c r="B19" i="1"/>
</calcChain>
</file>

<file path=xl/sharedStrings.xml><?xml version="1.0" encoding="utf-8"?>
<sst xmlns="http://schemas.openxmlformats.org/spreadsheetml/2006/main" count="27" uniqueCount="27">
  <si>
    <t>Actinobacteria</t>
  </si>
  <si>
    <t>Bacteroidetes</t>
  </si>
  <si>
    <t>Planctomycetes</t>
  </si>
  <si>
    <t>Verrucomicrobia</t>
  </si>
  <si>
    <t>Firmicutes</t>
  </si>
  <si>
    <t>Proteobacteria</t>
  </si>
  <si>
    <t>Other_Phyla</t>
  </si>
  <si>
    <t>sample</t>
  </si>
  <si>
    <t>ApoEpi1</t>
  </si>
  <si>
    <t>ApoEpi2</t>
  </si>
  <si>
    <t>ApoEpi3</t>
  </si>
  <si>
    <t>ApoEpi4</t>
  </si>
  <si>
    <t>ApoGas1</t>
  </si>
  <si>
    <t>ApoGas2</t>
  </si>
  <si>
    <t>ApoGas3</t>
  </si>
  <si>
    <t>ApoGas4</t>
  </si>
  <si>
    <t>SymEpi1</t>
  </si>
  <si>
    <t>SymEpi3</t>
  </si>
  <si>
    <t>SymEpi4</t>
  </si>
  <si>
    <t>SymEpi2</t>
  </si>
  <si>
    <t>SymGas1</t>
  </si>
  <si>
    <t>SymGas3</t>
  </si>
  <si>
    <t>SymGas4</t>
  </si>
  <si>
    <t>SymGas2</t>
  </si>
  <si>
    <t>mean</t>
  </si>
  <si>
    <t>std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</si>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</sst>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E8DA-6326-6041-A660-D8BB67064E98}">
  <dimension ref="A1:H21"/>
  <sheetViews>
    <sheetView tabSelected="1" zoomScale="150" workbookViewId="0">
      <selection activeCell="G1" sqref="G1:G1048576"/>
    </sheetView>
  </sheetViews>
  <sheetFormatPr baseColWidth="10" defaultRowHeight="16" x14ac:dyDescent="0.2"/>
  <cols>
    <col min="1" max="1" width="8.83203125" bestFit="1" customWidth="1"/>
    <col min="2" max="2" width="13" bestFit="1" customWidth="1"/>
    <col min="3" max="3" width="12.5" bestFit="1" customWidth="1"/>
    <col min="4" max="4" width="14" bestFit="1" customWidth="1"/>
    <col min="5" max="5" width="14.6640625" bestFit="1" customWidth="1"/>
    <col min="6" max="6" width="11.1640625" bestFit="1" customWidth="1"/>
    <col min="7" max="7" width="13.1640625" bestFit="1" customWidth="1"/>
    <col min="8" max="8" width="11.1640625" bestFit="1" customWidth="1"/>
  </cols>
  <sheetData>
    <row r="1" spans="1:8" x14ac:dyDescent="0.2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8</v>
      </c>
      <c r="B2" s="1">
        <v>2.8637059699999998</v>
      </c>
      <c r="C2" s="1">
        <v>11.179173</v>
      </c>
      <c r="D2" s="1">
        <v>0.87289433000000005</v>
      </c>
      <c r="E2" s="1">
        <v>4.594181E-2</v>
      </c>
      <c r="F2" s="1">
        <v>0.65084226999999995</v>
      </c>
      <c r="G2" s="1">
        <v>84.356814700000001</v>
      </c>
      <c r="H2" s="1">
        <v>3.0627870000000001E-2</v>
      </c>
    </row>
    <row r="3" spans="1:8" x14ac:dyDescent="0.2">
      <c r="A3" s="1" t="s">
        <v>9</v>
      </c>
      <c r="B3" s="1">
        <v>4.7865013799999998</v>
      </c>
      <c r="C3" s="1">
        <v>1.5151515200000001</v>
      </c>
      <c r="D3" s="1">
        <v>0</v>
      </c>
      <c r="E3" s="1">
        <v>0</v>
      </c>
      <c r="F3" s="1">
        <v>0.61983471000000001</v>
      </c>
      <c r="G3" s="1">
        <v>93.078512399999994</v>
      </c>
      <c r="H3" s="1">
        <v>0</v>
      </c>
    </row>
    <row r="4" spans="1:8" x14ac:dyDescent="0.2">
      <c r="A4" s="1" t="s">
        <v>10</v>
      </c>
      <c r="B4" s="1">
        <v>4.0602655800000003</v>
      </c>
      <c r="C4" s="1">
        <v>4.8135852899999998</v>
      </c>
      <c r="D4" s="1">
        <v>1.22574055</v>
      </c>
      <c r="E4" s="1">
        <v>0</v>
      </c>
      <c r="F4" s="1">
        <v>0.86823289000000003</v>
      </c>
      <c r="G4" s="1">
        <v>88.981103200000007</v>
      </c>
      <c r="H4" s="1">
        <v>5.1072520000000003E-2</v>
      </c>
    </row>
    <row r="5" spans="1:8" x14ac:dyDescent="0.2">
      <c r="A5" s="1" t="s">
        <v>11</v>
      </c>
      <c r="B5" s="1">
        <v>3.3530450000000003E-2</v>
      </c>
      <c r="C5" s="1">
        <v>44.2266659</v>
      </c>
      <c r="D5" s="1">
        <v>6.4774736300000004</v>
      </c>
      <c r="E5" s="1">
        <v>1.5027738799999999</v>
      </c>
      <c r="F5" s="1">
        <v>0.26519538999999998</v>
      </c>
      <c r="G5" s="1">
        <v>46.345180800000001</v>
      </c>
      <c r="H5" s="1">
        <v>1.1491800299999999</v>
      </c>
    </row>
    <row r="6" spans="1:8" x14ac:dyDescent="0.2">
      <c r="A6" s="1" t="s">
        <v>12</v>
      </c>
      <c r="B6" s="1">
        <v>2.27955912</v>
      </c>
      <c r="C6" s="1">
        <v>0.27555109999999999</v>
      </c>
      <c r="D6" s="1">
        <v>0</v>
      </c>
      <c r="E6" s="1">
        <v>0</v>
      </c>
      <c r="F6" s="1">
        <v>0.45925184000000002</v>
      </c>
      <c r="G6" s="1">
        <v>96.8520374</v>
      </c>
      <c r="H6" s="1">
        <v>0.13360053</v>
      </c>
    </row>
    <row r="7" spans="1:8" x14ac:dyDescent="0.2">
      <c r="A7" s="1" t="s">
        <v>13</v>
      </c>
      <c r="B7" s="1">
        <v>3.1971010000000001E-2</v>
      </c>
      <c r="C7" s="1">
        <v>0.87920286000000003</v>
      </c>
      <c r="D7" s="1">
        <v>3.7299520000000003E-2</v>
      </c>
      <c r="E7" s="1">
        <v>0</v>
      </c>
      <c r="F7" s="1">
        <v>5.3285020000000002E-2</v>
      </c>
      <c r="G7" s="1">
        <v>98.923642599999994</v>
      </c>
      <c r="H7" s="1">
        <v>7.4599029999999997E-2</v>
      </c>
    </row>
    <row r="8" spans="1:8" x14ac:dyDescent="0.2">
      <c r="A8" s="1" t="s">
        <v>14</v>
      </c>
      <c r="B8" s="1">
        <v>0.96523194999999995</v>
      </c>
      <c r="C8" s="1">
        <v>1.02925244</v>
      </c>
      <c r="D8" s="1">
        <v>0.17236285000000001</v>
      </c>
      <c r="E8" s="1">
        <v>0.19698610999999999</v>
      </c>
      <c r="F8" s="1">
        <v>0.29055451999999998</v>
      </c>
      <c r="G8" s="1">
        <v>97.256968400000005</v>
      </c>
      <c r="H8" s="1">
        <v>8.8643749999999993E-2</v>
      </c>
    </row>
    <row r="9" spans="1:8" x14ac:dyDescent="0.2">
      <c r="A9" s="1" t="s">
        <v>15</v>
      </c>
      <c r="B9" s="1">
        <v>2.8720259000000001</v>
      </c>
      <c r="C9" s="1">
        <v>5.40616641</v>
      </c>
      <c r="D9" s="1">
        <v>1.7738983500000001</v>
      </c>
      <c r="E9" s="1">
        <v>0.78839926999999999</v>
      </c>
      <c r="F9" s="1">
        <v>0.91510628999999999</v>
      </c>
      <c r="G9" s="1">
        <v>87.695340000000002</v>
      </c>
      <c r="H9" s="1">
        <v>0.54906378</v>
      </c>
    </row>
    <row r="10" spans="1:8" x14ac:dyDescent="0.2">
      <c r="A10" s="1" t="s">
        <v>16</v>
      </c>
      <c r="B10" s="1">
        <v>24.573225499999999</v>
      </c>
      <c r="C10" s="1">
        <v>2.3809523800000001</v>
      </c>
      <c r="D10" s="1">
        <v>0</v>
      </c>
      <c r="E10" s="1">
        <v>0</v>
      </c>
      <c r="F10" s="1">
        <v>5.1662174299999997</v>
      </c>
      <c r="G10" s="1">
        <v>67.879604700000002</v>
      </c>
      <c r="H10" s="1">
        <v>0</v>
      </c>
    </row>
    <row r="11" spans="1:8" x14ac:dyDescent="0.2">
      <c r="A11" s="1" t="s">
        <v>17</v>
      </c>
      <c r="B11" s="1">
        <v>2.7077937400000001</v>
      </c>
      <c r="C11" s="1">
        <v>16.176124300000001</v>
      </c>
      <c r="D11" s="1">
        <v>0.21191429000000001</v>
      </c>
      <c r="E11" s="1">
        <v>3.53190487</v>
      </c>
      <c r="F11" s="1">
        <v>0.80056510000000003</v>
      </c>
      <c r="G11" s="1">
        <v>75.206027800000001</v>
      </c>
      <c r="H11" s="1">
        <v>1.36566988</v>
      </c>
    </row>
    <row r="12" spans="1:8" x14ac:dyDescent="0.2">
      <c r="A12" s="1" t="s">
        <v>18</v>
      </c>
      <c r="B12" s="1">
        <v>11.0042735</v>
      </c>
      <c r="C12" s="1">
        <v>9.6688034199999997</v>
      </c>
      <c r="D12" s="1">
        <v>0.53418803000000004</v>
      </c>
      <c r="E12" s="1">
        <v>0</v>
      </c>
      <c r="F12" s="1">
        <v>7.3183760700000002</v>
      </c>
      <c r="G12" s="1">
        <v>71.260683799999995</v>
      </c>
      <c r="H12" s="1">
        <v>0.21367521</v>
      </c>
    </row>
    <row r="13" spans="1:8" x14ac:dyDescent="0.2">
      <c r="A13" s="1" t="s">
        <v>19</v>
      </c>
      <c r="B13" s="1">
        <v>8.2253240299999995</v>
      </c>
      <c r="C13" s="1">
        <v>17.8464606</v>
      </c>
      <c r="D13" s="1">
        <v>0.24925224000000001</v>
      </c>
      <c r="E13" s="1">
        <v>3.3898305099999999</v>
      </c>
      <c r="F13" s="1">
        <v>1.19641077</v>
      </c>
      <c r="G13" s="1">
        <v>68.045862400000004</v>
      </c>
      <c r="H13" s="1">
        <v>1.0468594200000001</v>
      </c>
    </row>
    <row r="14" spans="1:8" x14ac:dyDescent="0.2">
      <c r="A14" s="1" t="s">
        <v>20</v>
      </c>
      <c r="B14" s="1">
        <v>52.976488199999999</v>
      </c>
      <c r="C14" s="1">
        <v>1.1505752899999999</v>
      </c>
      <c r="D14" s="1">
        <v>0.35017509000000002</v>
      </c>
      <c r="E14" s="1">
        <v>1.10055028</v>
      </c>
      <c r="F14" s="1">
        <v>3.6518259099999999</v>
      </c>
      <c r="G14" s="1">
        <v>40.5702851</v>
      </c>
      <c r="H14" s="1">
        <v>0.20010005</v>
      </c>
    </row>
    <row r="15" spans="1:8" x14ac:dyDescent="0.2">
      <c r="A15" s="1" t="s">
        <v>21</v>
      </c>
      <c r="B15" s="1">
        <v>31.7544708</v>
      </c>
      <c r="C15" s="1">
        <v>4.44659256</v>
      </c>
      <c r="D15" s="1">
        <v>0.14499757999999999</v>
      </c>
      <c r="E15" s="1">
        <v>0.19333011</v>
      </c>
      <c r="F15" s="1">
        <v>2.4649589199999999</v>
      </c>
      <c r="G15" s="1">
        <v>60.947317499999997</v>
      </c>
      <c r="H15" s="1">
        <v>4.8332529999999999E-2</v>
      </c>
    </row>
    <row r="16" spans="1:8" x14ac:dyDescent="0.2">
      <c r="A16" s="1" t="s">
        <v>22</v>
      </c>
      <c r="B16" s="1">
        <v>36.634647200000003</v>
      </c>
      <c r="C16" s="1">
        <v>1.1262007300000001</v>
      </c>
      <c r="D16" s="1">
        <v>3.3123550000000002E-2</v>
      </c>
      <c r="E16" s="1">
        <v>3.3123550000000002E-2</v>
      </c>
      <c r="F16" s="1">
        <v>4.0410731999999996</v>
      </c>
      <c r="G16" s="1">
        <v>58.065584600000001</v>
      </c>
      <c r="H16" s="1">
        <v>6.6247100000000003E-2</v>
      </c>
    </row>
    <row r="17" spans="1:8" x14ac:dyDescent="0.2">
      <c r="A17" s="1" t="s">
        <v>23</v>
      </c>
      <c r="B17" s="1">
        <v>18.001104399999999</v>
      </c>
      <c r="C17" s="1">
        <v>4.8591938199999998</v>
      </c>
      <c r="D17" s="1">
        <v>0</v>
      </c>
      <c r="E17" s="1">
        <v>0.55218111999999997</v>
      </c>
      <c r="F17" s="1">
        <v>4.5278851500000004</v>
      </c>
      <c r="G17" s="1">
        <v>71.617890700000004</v>
      </c>
      <c r="H17" s="1">
        <v>0.44174489</v>
      </c>
    </row>
    <row r="19" spans="1:8" x14ac:dyDescent="0.2">
      <c r="A19" s="1" t="s">
        <v>24</v>
      </c>
      <c r="B19">
        <f>AVERAGE(B2:B17)</f>
        <v>12.735632420625</v>
      </c>
      <c r="C19">
        <f t="shared" ref="C19:H19" si="0">AVERAGE(C2:C17)</f>
        <v>7.9362282262499999</v>
      </c>
      <c r="D19">
        <f t="shared" si="0"/>
        <v>0.75520750062500008</v>
      </c>
      <c r="E19">
        <f t="shared" si="0"/>
        <v>0.70843884437500004</v>
      </c>
      <c r="F19">
        <f t="shared" si="0"/>
        <v>2.0806009675000001</v>
      </c>
      <c r="G19">
        <f t="shared" si="0"/>
        <v>75.442678506250004</v>
      </c>
      <c r="H19">
        <f t="shared" si="0"/>
        <v>0.34121353687499995</v>
      </c>
    </row>
    <row r="20" spans="1:8" x14ac:dyDescent="0.2">
      <c r="A20" s="1" t="s">
        <v>25</v>
      </c>
      <c r="B20">
        <f>STDEV(B2:B17)</f>
        <v>15.806648342034835</v>
      </c>
      <c r="C20">
        <f t="shared" ref="C20:H20" si="1">STDEV(C2:C17)</f>
        <v>11.120933858630156</v>
      </c>
      <c r="D20">
        <f t="shared" si="1"/>
        <v>1.6085518528842482</v>
      </c>
      <c r="E20">
        <f t="shared" si="1"/>
        <v>1.1664915741265043</v>
      </c>
      <c r="F20">
        <f t="shared" si="1"/>
        <v>2.1919510340542354</v>
      </c>
      <c r="G20">
        <f t="shared" si="1"/>
        <v>18.126214573712812</v>
      </c>
      <c r="H20">
        <f t="shared" si="1"/>
        <v>0.45037809917550614</v>
      </c>
    </row>
    <row r="21" spans="1:8" x14ac:dyDescent="0.2">
      <c r="A21" s="1" t="s">
        <v>26</v>
      </c>
      <c r="B21">
        <f>B20/4</f>
        <v>3.9516620855087088</v>
      </c>
      <c r="C21">
        <f t="shared" ref="C21:H21" si="2">C20/4</f>
        <v>2.7802334646575391</v>
      </c>
      <c r="D21">
        <f t="shared" si="2"/>
        <v>0.40213796322106204</v>
      </c>
      <c r="E21">
        <f t="shared" si="2"/>
        <v>0.29162289353162607</v>
      </c>
      <c r="F21">
        <f t="shared" si="2"/>
        <v>0.54798775851355885</v>
      </c>
      <c r="G21">
        <f t="shared" si="2"/>
        <v>4.5315536434282029</v>
      </c>
      <c r="H21">
        <f t="shared" si="2"/>
        <v>0.11259452479387654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Guoxin Cui</dc:creator>
  <cp:lastModifiedBy>Guoxin Cui</cp:lastModifiedBy>
  <dcterms:created xsi:type="dcterms:W3CDTF">2025-01-15T09:16:28Z</dcterms:created>
  <dcterms:modified xsi:type="dcterms:W3CDTF">2025-01-16T17:16:56Z</dcterms:modified>
</cp:coreProperties>
</file>