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uig/KAUST Dropbox/guoxin cui/data/Tissue-specific microbiome/Manuscript/"/>
    </mc:Choice>
  </mc:AlternateContent>
  <xr:revisionPtr revIDLastSave="0" documentId="13_ncr:1_{88365F04-8E13-5B42-A736-DE73906F180F}" xr6:coauthVersionLast="47" xr6:coauthVersionMax="47" xr10:uidLastSave="{00000000-0000-0000-0000-000000000000}"/>
  <bookViews>
    <workbookView xWindow="2320" yWindow="8740" windowWidth="27240" windowHeight="16440" xr2:uid="{A0BA1AFF-6A53-0C41-A0A0-5FE53BC17D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D19" i="1"/>
  <c r="E19" i="1"/>
  <c r="C20" i="1"/>
  <c r="D20" i="1"/>
  <c r="E20" i="1"/>
  <c r="C21" i="1"/>
  <c r="D21" i="1"/>
  <c r="E21" i="1"/>
  <c r="B21" i="1"/>
  <c r="B20" i="1"/>
  <c r="B19" i="1"/>
</calcChain>
</file>

<file path=xl/sharedStrings.xml><?xml version="1.0" encoding="utf-8"?>
<sst xmlns="http://schemas.openxmlformats.org/spreadsheetml/2006/main" count="24" uniqueCount="24">
  <si>
    <t>taxon</t>
  </si>
  <si>
    <t>Archaea</t>
  </si>
  <si>
    <t>Bacteria</t>
  </si>
  <si>
    <t>Eukaryota</t>
  </si>
  <si>
    <t>unknown</t>
  </si>
  <si>
    <t>ApoEpi1</t>
  </si>
  <si>
    <t>ApoEpi2</t>
  </si>
  <si>
    <t>ApoEpi3</t>
  </si>
  <si>
    <t>ApoEpi4</t>
  </si>
  <si>
    <t>ApoGas1</t>
  </si>
  <si>
    <t>ApoGas2</t>
  </si>
  <si>
    <t>ApoGas3</t>
  </si>
  <si>
    <t>ApoGas4</t>
  </si>
  <si>
    <t>SymEpi1</t>
  </si>
  <si>
    <t>SymEpi2</t>
  </si>
  <si>
    <t>SymEpi3</t>
  </si>
  <si>
    <t>SymEpi4</t>
  </si>
  <si>
    <t>SymGas1</t>
  </si>
  <si>
    <t>SymGas2</t>
  </si>
  <si>
    <t>SymGas3</t>
  </si>
  <si>
    <t>SymGas4</t>
  </si>
  <si>
    <t>mean</t>
  </si>
  <si>
    <t>std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</si>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</sst>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0A49F-F730-7A47-8AB2-67B28A86FC4C}">
  <dimension ref="A1:E21"/>
  <sheetViews>
    <sheetView tabSelected="1" workbookViewId="0">
      <selection activeCell="H25" sqref="H25"/>
    </sheetView>
  </sheetViews>
  <sheetFormatPr baseColWidth="10" defaultRowHeight="16" x14ac:dyDescent="0.2"/>
  <cols>
    <col min="2" max="2" width="12.1640625" bestFit="1" customWidth="1"/>
  </cols>
  <sheetData>
    <row r="1" spans="1:5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>
        <v>0</v>
      </c>
      <c r="C2">
        <v>29.63584897509152</v>
      </c>
      <c r="D2">
        <v>63.063724707560326</v>
      </c>
      <c r="E2">
        <v>7.3004263173481547</v>
      </c>
    </row>
    <row r="3" spans="1:5" x14ac:dyDescent="0.2">
      <c r="A3" s="1" t="s">
        <v>6</v>
      </c>
      <c r="B3">
        <v>0</v>
      </c>
      <c r="C3">
        <v>57.514512313600534</v>
      </c>
      <c r="D3">
        <v>33.138041683150284</v>
      </c>
      <c r="E3">
        <v>9.3474460032491784</v>
      </c>
    </row>
    <row r="4" spans="1:5" x14ac:dyDescent="0.2">
      <c r="A4" s="1" t="s">
        <v>7</v>
      </c>
      <c r="B4">
        <v>0</v>
      </c>
      <c r="C4">
        <v>55.915284632598635</v>
      </c>
      <c r="D4">
        <v>34.487561693387697</v>
      </c>
      <c r="E4">
        <v>9.597153674013672</v>
      </c>
    </row>
    <row r="5" spans="1:5" x14ac:dyDescent="0.2">
      <c r="A5" s="1" t="s">
        <v>8</v>
      </c>
      <c r="B5">
        <v>0</v>
      </c>
      <c r="C5">
        <v>54.78793921081374</v>
      </c>
      <c r="D5">
        <v>36.071490971300435</v>
      </c>
      <c r="E5">
        <v>9.1405698178858259</v>
      </c>
    </row>
    <row r="6" spans="1:5" x14ac:dyDescent="0.2">
      <c r="A6" s="1" t="s">
        <v>9</v>
      </c>
      <c r="B6">
        <v>1.2985453046224967E-4</v>
      </c>
      <c r="C6">
        <v>47.253998707947417</v>
      </c>
      <c r="D6">
        <v>42.84881361654606</v>
      </c>
      <c r="E6">
        <v>9.8970578209760518</v>
      </c>
    </row>
    <row r="7" spans="1:5" x14ac:dyDescent="0.2">
      <c r="A7" s="1" t="s">
        <v>10</v>
      </c>
      <c r="B7">
        <v>0</v>
      </c>
      <c r="C7">
        <v>54.299332697807436</v>
      </c>
      <c r="D7">
        <v>35.573843684763069</v>
      </c>
      <c r="E7">
        <v>10.126823617429499</v>
      </c>
    </row>
    <row r="8" spans="1:5" x14ac:dyDescent="0.2">
      <c r="A8" s="1" t="s">
        <v>11</v>
      </c>
      <c r="B8">
        <v>0</v>
      </c>
      <c r="C8">
        <v>58.721292183770075</v>
      </c>
      <c r="D8">
        <v>30.869593642271148</v>
      </c>
      <c r="E8">
        <v>10.40911417395878</v>
      </c>
    </row>
    <row r="9" spans="1:5" x14ac:dyDescent="0.2">
      <c r="A9" s="1" t="s">
        <v>12</v>
      </c>
      <c r="B9">
        <v>0</v>
      </c>
      <c r="C9">
        <v>57.277217597339472</v>
      </c>
      <c r="D9">
        <v>32.148852751642913</v>
      </c>
      <c r="E9">
        <v>10.573929651017622</v>
      </c>
    </row>
    <row r="10" spans="1:5" x14ac:dyDescent="0.2">
      <c r="A10" s="1" t="s">
        <v>13</v>
      </c>
      <c r="B10">
        <v>0</v>
      </c>
      <c r="C10">
        <v>45.231736587674519</v>
      </c>
      <c r="D10">
        <v>46.9943303375236</v>
      </c>
      <c r="E10">
        <v>7.7739330748018753</v>
      </c>
    </row>
    <row r="11" spans="1:5" x14ac:dyDescent="0.2">
      <c r="A11" s="1" t="s">
        <v>14</v>
      </c>
      <c r="B11">
        <v>1.2719167148935088E-4</v>
      </c>
      <c r="C11">
        <v>45.043912924581697</v>
      </c>
      <c r="D11">
        <v>47.696368041820627</v>
      </c>
      <c r="E11">
        <v>7.2595918419261913</v>
      </c>
    </row>
    <row r="12" spans="1:5" x14ac:dyDescent="0.2">
      <c r="A12" s="1" t="s">
        <v>15</v>
      </c>
      <c r="B12">
        <v>0</v>
      </c>
      <c r="C12">
        <v>27.933817775940831</v>
      </c>
      <c r="D12">
        <v>66.618193452279698</v>
      </c>
      <c r="E12">
        <v>5.4479887717794684</v>
      </c>
    </row>
    <row r="13" spans="1:5" x14ac:dyDescent="0.2">
      <c r="A13" s="1" t="s">
        <v>16</v>
      </c>
      <c r="B13">
        <v>0</v>
      </c>
      <c r="C13">
        <v>39.791323233116152</v>
      </c>
      <c r="D13">
        <v>53.563074024648721</v>
      </c>
      <c r="E13">
        <v>6.6456027422351314</v>
      </c>
    </row>
    <row r="14" spans="1:5" x14ac:dyDescent="0.2">
      <c r="A14" s="1" t="s">
        <v>17</v>
      </c>
      <c r="B14">
        <v>0</v>
      </c>
      <c r="C14">
        <v>32.478669898520323</v>
      </c>
      <c r="D14">
        <v>61.636729565756148</v>
      </c>
      <c r="E14">
        <v>5.8846005357235249</v>
      </c>
    </row>
    <row r="15" spans="1:5" x14ac:dyDescent="0.2">
      <c r="A15" s="1" t="s">
        <v>18</v>
      </c>
      <c r="B15">
        <v>0</v>
      </c>
      <c r="C15">
        <v>21.767498521480199</v>
      </c>
      <c r="D15">
        <v>74.225970919248482</v>
      </c>
      <c r="E15">
        <v>4.0065305592713143</v>
      </c>
    </row>
    <row r="16" spans="1:5" x14ac:dyDescent="0.2">
      <c r="A16" s="1" t="s">
        <v>19</v>
      </c>
      <c r="B16">
        <v>0</v>
      </c>
      <c r="C16">
        <v>38.129144001175611</v>
      </c>
      <c r="D16">
        <v>54.95458947148952</v>
      </c>
      <c r="E16">
        <v>6.916266527334864</v>
      </c>
    </row>
    <row r="17" spans="1:5" x14ac:dyDescent="0.2">
      <c r="A17" s="1" t="s">
        <v>20</v>
      </c>
      <c r="B17">
        <v>0</v>
      </c>
      <c r="C17">
        <v>20.430313547125689</v>
      </c>
      <c r="D17">
        <v>75.239879554010187</v>
      </c>
      <c r="E17">
        <v>4.3298068988641232</v>
      </c>
    </row>
    <row r="19" spans="1:5" x14ac:dyDescent="0.2">
      <c r="A19" s="1" t="s">
        <v>21</v>
      </c>
      <c r="B19">
        <f>AVERAGE(B2:B17)</f>
        <v>1.6065387621975034E-5</v>
      </c>
      <c r="C19">
        <f t="shared" ref="C19:E19" si="0">AVERAGE(C2:C17)</f>
        <v>42.888240175536495</v>
      </c>
      <c r="D19">
        <f t="shared" si="0"/>
        <v>49.320691132337423</v>
      </c>
      <c r="E19">
        <f t="shared" si="0"/>
        <v>7.7910526267384546</v>
      </c>
    </row>
    <row r="20" spans="1:5" x14ac:dyDescent="0.2">
      <c r="A20" s="1" t="s">
        <v>22</v>
      </c>
      <c r="B20">
        <f>STDEV(B2:B17)</f>
        <v>4.3901688279394862E-5</v>
      </c>
      <c r="C20">
        <f t="shared" ref="C20:E20" si="1">STDEV(C2:C17)</f>
        <v>13.248090205410501</v>
      </c>
      <c r="D20">
        <f t="shared" si="1"/>
        <v>15.304123357768701</v>
      </c>
      <c r="E20">
        <f t="shared" si="1"/>
        <v>2.1606078439578424</v>
      </c>
    </row>
    <row r="21" spans="1:5" x14ac:dyDescent="0.2">
      <c r="A21" s="1" t="s">
        <v>23</v>
      </c>
      <c r="B21">
        <f>B20/4</f>
        <v>1.0975422069848715E-5</v>
      </c>
      <c r="C21">
        <f t="shared" ref="C21:E21" si="2">C20/4</f>
        <v>3.3120225513526251</v>
      </c>
      <c r="D21">
        <f t="shared" si="2"/>
        <v>3.8260308394421751</v>
      </c>
      <c r="E21">
        <f t="shared" si="2"/>
        <v>0.54015196098946061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Guoxin Cui</dc:creator>
  <cp:lastModifiedBy>Guoxin Cui</cp:lastModifiedBy>
  <dcterms:created xsi:type="dcterms:W3CDTF">2025-01-15T07:25:13Z</dcterms:created>
  <dcterms:modified xsi:type="dcterms:W3CDTF">2025-01-15T16:31:32Z</dcterms:modified>
</cp:coreProperties>
</file>